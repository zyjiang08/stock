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Sig Template" sheetId="1" r:id="rId1"/>
    <sheet name="中文指南" sheetId="2" r:id="rId2"/>
  </sheets>
  <definedNames>
    <definedName name="_xlnm._FilterDatabase" localSheetId="0" hidden="1">'9Sig Template'!$A$1:$AE$5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J1" authorId="0">
      <text>
        <r>
          <rPr>
            <sz val="8"/>
            <color indexed="81"/>
            <rFont val="Tahoma"/>
            <family val="2"/>
          </rPr>
          <t>本模板使用上一季实际调仓后股票市值乘(1+季度目标率)。不是保证收益。</t>
        </r>
      </text>
    </comment>
    <comment ref="W1" authorId="0">
      <text>
        <r>
          <rPr>
            <sz val="8"/>
            <color indexed="81"/>
            <rFont val="Tahoma"/>
            <family val="2"/>
          </rPr>
          <t>每季手动设置。1=暂停所有卖出，包括X列请求的重置卖出；买入仍按上限执行。</t>
        </r>
      </text>
    </comment>
    <comment ref="X1" authorId="0">
      <text>
        <r>
          <rPr>
            <sz val="8"/>
            <color indexed="81"/>
            <rFont val="Tahoma"/>
            <family val="2"/>
          </rPr>
          <t>留空=不重置；0.4=请求股票占比40%；0=请求卖光。仍受W和AA限制。</t>
        </r>
      </text>
    </comment>
    <comment ref="Y1" authorId="0">
      <text>
        <r>
          <rPr>
            <sz val="8"/>
            <color indexed="81"/>
            <rFont val="Tahoma"/>
            <family val="2"/>
          </rPr>
          <t>可选下一季度基数覆盖；会改变未来信号。初始行必须留空。</t>
        </r>
      </text>
    </comment>
    <comment ref="AB1" authorId="0">
      <text>
        <r>
          <rPr>
            <sz val="8"/>
            <color indexed="81"/>
            <rFont val="Tahoma"/>
            <family val="2"/>
          </rPr>
          <t>向零截断交易股数。0=整股，最多6位；券商需支持所选精度。</t>
        </r>
      </text>
    </comment>
    <comment ref="AD1" authorId="0">
      <text>
        <r>
          <rPr>
            <sz val="8"/>
            <color indexed="81"/>
            <rFont val="Tahoma"/>
            <family val="2"/>
          </rPr>
          <t>OK表示本模板的输入及资金守恒检查通过，不表示已验证完整官方策略或真实券商成交。</t>
        </r>
      </text>
    </comment>
  </commentList>
</comments>
</file>

<file path=xl/sharedStrings.xml><?xml version="1.0" encoding="utf-8"?>
<sst xmlns="http://schemas.openxmlformats.org/spreadsheetml/2006/main" count="194" uniqueCount="150">
  <si>
    <t>Quarter</t>
  </si>
  <si>
    <t>Date</t>
  </si>
  <si>
    <t>TQQQ Price</t>
  </si>
  <si>
    <t>Reserve Unit Price</t>
  </si>
  <si>
    <t>TQQQ Shares Before</t>
  </si>
  <si>
    <t>Reserve Units Before</t>
  </si>
  <si>
    <t>TQQQ Value Before</t>
  </si>
  <si>
    <t>Reserve Value Before</t>
  </si>
  <si>
    <t>Portfolio Before</t>
  </si>
  <si>
    <t>Signal Target</t>
  </si>
  <si>
    <t>Raw Signal Amount</t>
  </si>
  <si>
    <t>Buy Cap Amount</t>
  </si>
  <si>
    <t>Requested Trade Amount</t>
  </si>
  <si>
    <t>Allowed Trade Amount</t>
  </si>
  <si>
    <t>Trade Shares</t>
  </si>
  <si>
    <t>Executed Trade Amount</t>
  </si>
  <si>
    <t>TQQQ Shares After</t>
  </si>
  <si>
    <t>Reserve Units After</t>
  </si>
  <si>
    <t>TQQQ Value After</t>
  </si>
  <si>
    <t>Reserve Value After</t>
  </si>
  <si>
    <t>Portfolio After</t>
  </si>
  <si>
    <t>Next Signal Base</t>
  </si>
  <si>
    <t>Ignore Sell (0 or 1)</t>
  </si>
  <si>
    <t>Reset Stock Weight (optional)</t>
  </si>
  <si>
    <t>Next Base Override (optional)</t>
  </si>
  <si>
    <t>Quarterly Target Rate</t>
  </si>
  <si>
    <t>Max Reserve Use</t>
  </si>
  <si>
    <t>Share Decimals</t>
  </si>
  <si>
    <t>Action</t>
  </si>
  <si>
    <t>Check</t>
  </si>
  <si>
    <t>Notes</t>
  </si>
  <si>
    <t>Q0 (Init)</t>
  </si>
  <si>
    <t>2024-01-02</t>
  </si>
  <si>
    <t>自定义40/60起点；演示价格；现金储备；非完整官方规则</t>
  </si>
  <si>
    <t>Q1</t>
  </si>
  <si>
    <t>2024-03-28</t>
  </si>
  <si>
    <t>演示价格；W/X/Y为手动控制；新增季度须清除临时设置</t>
  </si>
  <si>
    <t>Q2</t>
  </si>
  <si>
    <t>2024-06-28</t>
  </si>
  <si>
    <t>Q3</t>
  </si>
  <si>
    <t>2024-09-30</t>
  </si>
  <si>
    <t># Jason Kelly 9Sig 策略 Google Sheets 自动计算与调仓模板指南</t>
  </si>
  <si>
    <t/>
  </si>
  <si>
    <t>自定义教学模板 · 2026-10-27 · 美元计价</t>
  </si>
  <si>
    <t>本套文件提供季度信号计算、买入金额限制、持仓与储备结转，以及手动暂停卖出和重置功能。示例采用你指定的 **40% TQQQ + 60% 现金储备**，初始资金 100,000 美元。所有价格都是演示数据，不代表历史行情或实际收益。</t>
  </si>
  <si>
    <t>这是独立制作的计算模板，不是 Jason Kelly 的官方表格或完整 9Sig 操作手册。9% 是股票部分的季度调仓目标，并不代表整个账户每季能赚 9%。TQQQ 的三倍目标针对**单日**表现，长期结果会受每日复利路径影响。[ProShares 产品说明](https://www.proshares.com/our-etfs/leveraged-and-inverse/tqqq)</t>
  </si>
  <si>
    <t>## 文件与打开方式</t>
  </si>
  <si>
    <t>| 文件 | 用途 |</t>
  </si>
  <si>
    <t>| --- | --- |</t>
  </si>
  <si>
    <t>| `9Sig_Google_Sheets_Template.csv` | 含公式的原始模板，使用 UTF-8 BOM 编码 |</t>
  </si>
  <si>
    <t>| `9Sig_Google_Sheets_Template.xlsx` | 同一模板的排版版，含输入提示与本指南，可直接导入 Google Sheets |</t>
  </si>
  <si>
    <t>| `9Sig_Example_Results.csv` | 示例计算结果，只含数值，便于核对 |</t>
  </si>
  <si>
    <t>| `9Sig_Google_Sheets_Guide.md` | 本中文指南 |</t>
  </si>
  <si>
    <t>| `index.html` | 离线指南、单季度计算器与下载按钮；单个文件也能使用 |</t>
  </si>
  <si>
    <t>CSV、XLSX 和 HTML 文件本身不需要密钥或 Google 授权。可以直接把文件发送给别人；如果要让别人通过网址下载，仍需将网页放到可公开访问的服务器上。本地路径不是互联网分享链接。</t>
  </si>
  <si>
    <t>在 Google Drive 中创建或保存个人副本需要 Google 账号；将链接改为 `/copy` 不能免除这个要求。公开查看与保存个人副本是不同操作。[Google 的复制文件说明](https://support.google.com/docs/answer/148833?hl=en)</t>
  </si>
  <si>
    <t>## 导入 Google Sheets</t>
  </si>
  <si>
    <t>1. 打开一个空白 Google 表格，选择“文件 → 导入 → 上传”。</t>
  </si>
  <si>
    <t>2. 上传 `9Sig_Google_Sheets_Template.csv`，选择“替换当前工作表”或“创建新电子表格”，分隔符选逗号。</t>
  </si>
  <si>
    <t>3. 如果出现“将文本转换为数字、日期和公式”，保持勾选，然后导入。</t>
  </si>
  <si>
    <t>4. 检查 `G2` 显示 `40000`、`O3` 显示 `-128`、`Q3` 显示 `872`。若显示公式文字，重新导入并启用转换；若出现公式解析错误，可先将表格地区设置为美国后重新导入。</t>
  </si>
  <si>
    <t>5. 也可以直接导入 XLSX，保留格式、输入校验及指南页。[Google 文件导入说明](https://support.google.com/docs/answer/12236443?hl=en)、[Excel 导入说明](https://support.google.com/docs/answer/9331167?hl=en)</t>
  </si>
  <si>
    <t>不要把整段 CSV 粘贴后按逗号拆列：公式自身也有逗号，必须由 CSV 导入器正确处理引号。CSV 不保存颜色或数字格式，XLSX 则保留这些信息。</t>
  </si>
  <si>
    <t>## 第一次填写</t>
  </si>
  <si>
    <t>第 1 行是标题，第 2 行是初始建仓记录，第 3 行起每行代表一个季度。XLSX 中蓝底单元格供手动输入，灰底单元格含公式。</t>
  </si>
  <si>
    <t>- `C2`：初始 TQQQ 价格，示例为 `40`。</t>
  </si>
  <si>
    <t>- `D2`：储备单位价格，现金保持 `1`。</t>
  </si>
  <si>
    <t>- `E2`：初始 TQQQ 股数，示例为 `1000`。</t>
  </si>
  <si>
    <t>- `F2`：初始储备单位数，现金示例为 `60000`。</t>
  </si>
  <si>
    <t>- `Z2`：季度目标率，`0.09` 表示 9%。</t>
  </si>
  <si>
    <t>- `AA2`：一次买入最多使用的储备比例，示例为 `0.90`。</t>
  </si>
  <si>
    <t>- `AB2`：股票交易的小数位数，`0` 表示整股；券商支持碎股时才改成相应精度，最多 6 位。</t>
  </si>
  <si>
    <t>更改起始配置时，直接调整 `E2` 与 `F2`。例如同样以 100,000 美元、每股 40 美元起步，60/40 配置对应 `E2=1500`、`F2=40000`。实际填写时使用券商确认的持仓与余额；后续行会自动引用上一季调仓后的数量。</t>
  </si>
  <si>
    <t>## 每季度操作</t>
  </si>
  <si>
    <t>1. 修改 A、B 列的季度和记录日期，在 C、D 列填入本季度的估值价格。为保持简单，本模板假设估值价等于成交价。</t>
  </si>
  <si>
    <t>2. 核对 E、F 列结转数量与券商账户一致；有分红、拆股、出入金或未按示例成交时，先按实际记录修正数量和信号基数。</t>
  </si>
  <si>
    <t>3. 正常计算时 `W=0`，X、Y 留空。有已确认的特殊指令，再填写这些手动控制项。</t>
  </si>
  <si>
    <t>4. 查看 AD 列：必须是 `OK`，然后读取 AC 列动作、O 列股数、P 列成交金额。正数买入，负数卖出。</t>
  </si>
  <si>
    <t>5. Q、R 列给出交易后持仓，U 列给出总资产。下一季度复制最后一整行到下方，替换日期和价格，并将 W 恢复为 `0`、清空 X、Y，避免延续上季的临时指令。</t>
  </si>
  <si>
    <t>第 2 行只是初始持仓快照，不执行交易；W、X、Y 在这一行必须分别保持 `0`、空白、空白。`Z3` 以后引用 `$Z$2`，AA、AB 同理；如果以后修改了全局参数，历史行也会重算。需要保留历史规则时，把历史参数行改为当时的固定值。</t>
  </si>
  <si>
    <t>## 列定义</t>
  </si>
  <si>
    <t>| 列 | 字段 | 含义 |</t>
  </si>
  <si>
    <t>| --- | --- | --- |</t>
  </si>
  <si>
    <t>| A–B | Quarter / Date | 季度、记录日期 |</t>
  </si>
  <si>
    <t>| C–D | TQQQ Price / Reserve Unit Price | 股票价格与储备单位价格，必须大于 0 |</t>
  </si>
  <si>
    <t>| E–F | Shares / Units Before | 调仓前持仓；第 3 行起自动结转 |</t>
  </si>
  <si>
    <t>| G–I | Values Before | 股票、储备及总资产市值 |</t>
  </si>
  <si>
    <t>| J | Signal Target | 本季度股票目标市值 |</t>
  </si>
  <si>
    <t>| K | Raw Signal Amount | 目标减去当前股票市值 |</t>
  </si>
  <si>
    <t>| L | Buy Cap Amount | 储备市值乘以最多使用比例 |</t>
  </si>
  <si>
    <t>| M | Requested Trade Amount | 普通信号，或手动重置对应的交易金额 |</t>
  </si>
  <si>
    <t>| N | Allowed Trade Amount | 应用暂停卖出、买入上限及持仓限制后的金额 |</t>
  </si>
  <si>
    <t>| O | Trade Shares | 按指定精度向零截断的交易股数 |</t>
  </si>
  <si>
    <t>| P | Executed Trade Amount | 股数乘价格，实际用于现金结算的金额 |</t>
  </si>
  <si>
    <t>| Q–R | Shares / Units After | 交易后的股票股数和储备单位数 |</t>
  </si>
  <si>
    <t>| S–U | Values After | 交易后的股票、储备及总资产市值 |</t>
  </si>
  <si>
    <t>| V | Next Signal Base | 下一季度的起算基数，默认为本季交易后股票市值 |</t>
  </si>
  <si>
    <t>| W | Ignore Sell | `1` 暂停本季卖出，`0` 正常；需每季手动确认 |</t>
  </si>
  <si>
    <t>| X | Reset Stock Weight | 留空表示不重置，`0.4` 表示请求重置为 40% 股票 |</t>
  </si>
  <si>
    <t>| Y | Next Base Override | 留空自动使用 S；填写数值则覆盖下一季的信号基数 |</t>
  </si>
  <si>
    <t>| Z | Quarterly Target Rate | `0.09` 表示季度目标率 9% |</t>
  </si>
  <si>
    <t>| AA | Max Reserve Use | `0.9` 表示一次买入最多使用储备市值的 90% |</t>
  </si>
  <si>
    <t>| AB | Share Decimals | 交易股数小数位数，0–6 |</t>
  </si>
  <si>
    <t>| AC | Action | INIT / BUY / SELL / HOLD / BLOCKED |</t>
  </si>
  <si>
    <t>| AD | Check | 输入合法性与资金守恒检查 |</t>
  </si>
  <si>
    <t>| AE | Notes | 手工记录规则依据、实际交易和例外 |</t>
  </si>
  <si>
    <t>## 核心公式（第 3 行）</t>
  </si>
  <si>
    <t>```text</t>
  </si>
  <si>
    <t>E3 = Q2                         上季股票股数结转</t>
  </si>
  <si>
    <t>F3 = R2                         上季储备单位数结转</t>
  </si>
  <si>
    <t>G3 = E3*C3                      当前股票市值</t>
  </si>
  <si>
    <t>H3 = F3*D3                      当前储备市值</t>
  </si>
  <si>
    <t>I3 = G3+H3                      当前总资产</t>
  </si>
  <si>
    <t>J3 = V2*(1+Z3)                  本季目标</t>
  </si>
  <si>
    <t>K3 = J3-G3                      原始交易金额</t>
  </si>
  <si>
    <t>L3 = MAX(0,H3)*AA3              买入上限</t>
  </si>
  <si>
    <t>M3 = IF(X3="",K3,I3*X3-G3)      可选的手动重置请求</t>
  </si>
  <si>
    <t>P3 = O3*C3                      按交易股数结算</t>
  </si>
  <si>
    <t>Q3 = E3+O3                      交易后股票数量</t>
  </si>
  <si>
    <t>R3 = F3-P3/D3                   交易后储备数量</t>
  </si>
  <si>
    <t>S3 = Q3*C3                      交易后股票市值</t>
  </si>
  <si>
    <t>T3 = R3*D3                      交易后储备市值</t>
  </si>
  <si>
    <t>U3 = S3+T3                      交易后总资产</t>
  </si>
  <si>
    <t>V3 = IF(Y3="",S3,Y3)            下季基数或手动覆盖</t>
  </si>
  <si>
    <t>```</t>
  </si>
  <si>
    <t>N 列先执行 W 的暂停卖出，再将买入金额限制在 L 内、卖出金额限制在已有股票市值内。O 列使用 `TRUNC(N3/C3,AB3)` 向零截断。输入不合法时关闭交易计算并在 AD 标记错误，避免零价格或无效比例生成可执行信号。</t>
  </si>
  <si>
    <t>本模板采用**上一季实际调仓后的股票市值**作为下一季起算基数，包含整股舍入、买入不足、暂停卖出和重置的结果。不是无条件沿着最初本金一直乘 `1.09`。这个约定在模板各处保持一致；若你的正式指令使用另一信号基数，可通过 Y 列录入。[作者对 3Sig 资金不足及调仓后基数的解释](https://jasonkelly.com/3sig/)</t>
  </si>
  <si>
    <t>## 示例核对</t>
  </si>
  <si>
    <t>以下数据使用整股、储备价格恒为 1、无费用且无出入金。每次调仓只在两部分之间转移资金，因此交易前后总资产相等。</t>
  </si>
  <si>
    <t>| 行 | TQQQ 价格 | 股票目标 | 交易股数 | 成交金额 | 交易后股票股数 | 交易后现金 | 总资产 |</t>
  </si>
  <si>
    <t>| --- | ---: | ---: | ---: | ---: | ---: | ---: | ---: |</t>
  </si>
  <si>
    <t>| 初始 | 40.00 | 40,000.00 | 0 | 0.00 | 1,000 | 60,000.00 | 100,000.00 |</t>
  </si>
  <si>
    <t>| Q1 | 50.00 | 43,600.00 | -128 | -6,400.00 | 872 | 66,400.00 | 110,000.00 |</t>
  </si>
  <si>
    <t>| Q2 | 35.00 | 47,524.00 | 485 | 16,975.00 | 1,357 | 49,425.00 | 96,920.00 |</t>
  </si>
  <si>
    <t>| Q3 | 42.00 | 51,769.55 | -124 | -5,208.00 | 1,233 | 54,633.00 | 106,419.00 |</t>
  </si>
  <si>
    <t>Q1 股票市值超过目标，应卖出 128 股，所以 Q2 的期初股数是 872。原先粘贴内容中的 1,128 股会把卖出误记成买入，本模板已修正。Q2 因整股截断未完全达到目标，所以下一季按实际股票市值 47,495 美元起算。</t>
  </si>
  <si>
    <t>## 9Sig 规则核对与手动控制</t>
  </si>
  <si>
    <t>作者 2018 年公开答复使用的基准是 **60% 股票 / 40% 债券**，并说明单季买入最多使用债券余额的 90%。同一答复将 Spike Reset 描述为：股票基金当季上涨至少 100%、常规调仓后股票占比处于 60%–100%，且不在 30 Down 暂停卖出期时，重置到 60% 股票。[作者公开规则答复](https://jasonkelly.com/resources/strategies/)</t>
  </si>
  <si>
    <t>作者在 2023 年说明，9Sig 的 30 Down 阶段会跳过两次季度卖出信号，并在该阶段结束时恢复到基准配置；正常运行时股票占比也可能低于 60%。[作者对 30 Down 与配置的说明](https://jasonkelly.com/2023/02/tqqq-and-volatility-decay/)</t>
  </si>
  <si>
    <t>这些是带日期的公开说明，不足以确认最新会员版全部细节，也未证实“40/60 是最新官方配置”。40/60 在这里仅是你指定的自定义起点。完整执行规则以作者的会员资料为准。[The Kelly Letter 官方入口](https://jasonkelly.com/)</t>
  </si>
  <si>
    <t>模板不会自动判断 30 Down 的触发、计数或到期，也不会自动触发 Spike Reset。确认需要跳过本季卖出时填写 `W=1`；确认需要重置时填写 X；需要另行指定下季起点时填写 Y，并在 AE 留下注释。**W 的暂停卖出优先于 X 的重置请求，买入上限始终有效**，因此重置不保证一次完成，也会有整股误差。X 填 `0` 表示请求卖光，留空才是不重置。</t>
  </si>
  <si>
    <t>## 价格、债券与实际记账</t>
  </si>
  <si>
    <t>历史行请填写固定的历史价格。不要将每一季都替换成实时 `GOOGLEFINANCE`，否则过去的记录会随今天的价格变化。实时参考价可以放在模板外的独立单元格：</t>
  </si>
  <si>
    <t>=GOOGLEFINANCE("NASDAQ:TQQQ","price")</t>
  </si>
  <si>
    <t>Google 表示这类报价可能延迟最多 20 分钟，且并非所有证券都可用。用于季度记录前，核对价格对应日期并粘贴为数值。[GOOGLEFINANCE 官方说明](https://support.google.com/docs/answer/3093281?hl=en)</t>
  </si>
  <si>
    <t>默认储备为价格恒等于 1 的现金。若把 D 改为债券净值，F/R 就是按该净值估算的份额；公式允许储备碎份额，且未自动处理债券分红、整股订单和零钱账户。债券基金市值会变动，不能当作固定不亏的现金。真实债券 ETF 调仓应另核对债券卖出数量、分红与现金余额。</t>
  </si>
  <si>
    <t>本版没有自动处理新增资金、提款、分红、拆股、税费或成交滑点，也不会连接券商下单。这些情况需要先按实际持仓修正记录；不能把出入金造成的总资产变化当作投资收益。发生拆股时必须统一前后价格与股数口径。</t>
  </si>
  <si>
    <t>## 分享与公开发布</t>
  </si>
  <si>
    <t>把 `index.html` 发送给别人，接收者下载后用浏览器打开，就能阅读指南、使用单季度计算器及导出其中内嵌的 CSV、XLSX 和指南，不需要登录。网页不调用行情 API，也不上传输入内容；刷新后计算器恢复示例值。</t>
  </si>
  <si>
    <t>若要提供免登录网址，将 `index.html` 放入你选定的公开静态网站目录。下载内容已经内嵌，网页单文件即可使用；也可以一并发布本目录中的独立文件。发布后应在未登录的浏览器中打开实际网址并验证下载。本套文件的生成不等于已经完成互联网发布。</t>
  </si>
</sst>
</file>

<file path=xl/styles.xml><?xml version="1.0" encoding="utf-8"?>
<styleSheet xmlns="http://schemas.openxmlformats.org/spreadsheetml/2006/main">
  <numFmts count="2">
    <numFmt numFmtId="164" formatCode="#,##0.00####;[Red]-#,##0.00####;0"/>
    <numFmt numFmtId="165" formatCode="0.00%"/>
  </numFmts>
  <fonts count="5">
    <font>
      <sz val="11"/>
      <color theme="1"/>
      <name val="Calibri"/>
      <family val="2"/>
      <scheme val="minor"/>
    </font>
    <font>
      <sz val="11"/>
      <color rgb="FF52615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54D82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73D39"/>
        <bgColor indexed="64"/>
      </patternFill>
    </fill>
    <fill>
      <patternFill patternType="solid">
        <fgColor rgb="FFE9F3FC"/>
        <bgColor indexed="64"/>
      </patternFill>
    </fill>
    <fill>
      <patternFill patternType="solid">
        <fgColor rgb="FFF3F5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/>
    </xf>
    <xf numFmtId="164" fontId="0" fillId="4" borderId="0" xfId="0" applyNumberFormat="1" applyFill="1" applyAlignment="1">
      <alignment vertical="center"/>
    </xf>
    <xf numFmtId="1" fontId="3" fillId="3" borderId="0" xfId="0" applyNumberFormat="1" applyFont="1" applyFill="1"/>
    <xf numFmtId="165" fontId="3" fillId="3" borderId="0" xfId="0" applyNumberFormat="1" applyFont="1" applyFill="1"/>
    <xf numFmtId="165" fontId="0" fillId="4" borderId="0" xfId="0" applyNumberFormat="1" applyFill="1"/>
    <xf numFmtId="1" fontId="0" fillId="4" borderId="0" xfId="0" applyNumberForma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B2424"/>
      </font>
      <fill>
        <patternFill>
          <bgColor rgb="FFFDE9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5.7109375" customWidth="1"/>
    <col min="3" max="28" width="20.7109375" customWidth="1"/>
    <col min="29" max="30" width="18.7109375" customWidth="1"/>
    <col min="31" max="31" width="52.7109375" style="1" customWidth="1"/>
  </cols>
  <sheetData>
    <row r="1" spans="1:31" ht="5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48" customHeight="1">
      <c r="A2" s="3" t="s">
        <v>31</v>
      </c>
      <c r="B2" s="3" t="s">
        <v>32</v>
      </c>
      <c r="C2" s="3">
        <v>40</v>
      </c>
      <c r="D2" s="3">
        <v>1</v>
      </c>
      <c r="E2" s="3">
        <v>1000</v>
      </c>
      <c r="F2" s="3">
        <v>60000</v>
      </c>
      <c r="G2" s="4">
        <f>E2*C2</f>
        <v>40000.0</v>
      </c>
      <c r="H2" s="4">
        <f>F2*D2</f>
        <v>60000.0</v>
      </c>
      <c r="I2" s="4">
        <f>G2+H2</f>
        <v>100000.0</v>
      </c>
      <c r="J2" s="4">
        <f>G2</f>
        <v>40000.0</v>
      </c>
      <c r="K2" s="4">
        <f>0</f>
        <v>0.0</v>
      </c>
      <c r="L2" s="4">
        <f>MAX(0,H2)*AA2</f>
        <v>54000.0</v>
      </c>
      <c r="M2" s="4">
        <f>0</f>
        <v>0.0</v>
      </c>
      <c r="N2" s="4">
        <f>0</f>
        <v>0.0</v>
      </c>
      <c r="O2" s="4">
        <f>IFERROR(TRUNC(N2/C2,AB2),0)</f>
        <v>0.0</v>
      </c>
      <c r="P2" s="4">
        <f>O2*C2</f>
        <v>0.0</v>
      </c>
      <c r="Q2" s="4">
        <f>E2+O2</f>
        <v>1000.0</v>
      </c>
      <c r="R2" s="4">
        <f>F2-P2/D2</f>
        <v>60000.0</v>
      </c>
      <c r="S2" s="4">
        <f>Q2*C2</f>
        <v>40000.0</v>
      </c>
      <c r="T2" s="4">
        <f>R2*D2</f>
        <v>60000.0</v>
      </c>
      <c r="U2" s="4">
        <f>S2+T2</f>
        <v>100000.0</v>
      </c>
      <c r="V2" s="4">
        <f>IF(Y2="",S2,Y2)</f>
        <v>40000.0</v>
      </c>
      <c r="W2" s="5">
        <v>0</v>
      </c>
      <c r="X2" s="6"/>
      <c r="Y2" s="3"/>
      <c r="Z2" s="6">
        <v>0.09</v>
      </c>
      <c r="AA2" s="6">
        <v>0.9</v>
      </c>
      <c r="AB2" s="5">
        <v>0</v>
      </c>
      <c r="AC2" s="4" t="str">
        <f>IF(AD2&lt;&gt;"OK","BLOCKED","INIT")</f>
        <v>INIT</v>
      </c>
      <c r="AD2" s="4" t="str">
        <f>IFERROR(IF(NOT(AND(COUNT(C2:F2)=4,C2&gt;0,D2&gt;0,E2&gt;=0,F2&gt;=0,ISNUMBER(J2),J2&gt;=0,ISNUMBER(Z2),Z2&gt;=0,ISNUMBER(AA2),AA2&gt;=0,AA2&lt;=1,ISNUMBER(AB2),AB2&gt;=0,AB2&lt;=6,AB2=INT(AB2),ISNUMBER(W2),OR(W2=0,W2=1),OR(X2="",AND(ISNUMBER(X2),X2&gt;=0,X2&lt;=1)),OR(Y2="",AND(ISNUMBER(Y2),Y2&gt;=0)),W2=0,X2="",Y2="")),"INVALID INPUT",IF(AND(Q2&gt;=-0.000001,R2&gt;=-0.000001,ABS(U2-I2)&lt;0.000001,P2&lt;=L2+0.000001),"OK","CHECK BALANCES")),"INVALID INPUT")</f>
        <v>OK</v>
      </c>
      <c r="AE2" s="1" t="s">
        <v>33</v>
      </c>
    </row>
    <row r="3" spans="1:31" ht="48" customHeight="1">
      <c r="A3" s="3" t="s">
        <v>34</v>
      </c>
      <c r="B3" s="3" t="s">
        <v>35</v>
      </c>
      <c r="C3" s="3">
        <v>50</v>
      </c>
      <c r="D3" s="3">
        <v>1</v>
      </c>
      <c r="E3" s="4">
        <f>Q2</f>
        <v>1000.0</v>
      </c>
      <c r="F3" s="4">
        <f>R2</f>
        <v>60000.0</v>
      </c>
      <c r="G3" s="4">
        <f>E3*C3</f>
        <v>50000.0</v>
      </c>
      <c r="H3" s="4">
        <f>F3*D3</f>
        <v>60000.0</v>
      </c>
      <c r="I3" s="4">
        <f>G3+H3</f>
        <v>110000.0</v>
      </c>
      <c r="J3" s="4">
        <f>V2*(1+Z3)</f>
        <v>43600.0</v>
      </c>
      <c r="K3" s="4">
        <f>J3-G3</f>
        <v>-6400.0</v>
      </c>
      <c r="L3" s="4">
        <f>MAX(0,H3)*AA3</f>
        <v>54000.0</v>
      </c>
      <c r="M3" s="4">
        <f>IF(X3="",K3,I3*X3-G3)</f>
        <v>-6400.0</v>
      </c>
      <c r="N3" s="4">
        <f>IFERROR(IF(AND(COUNT(C3:F3)=4,C3&gt;0,D3&gt;0,E3&gt;=0,F3&gt;=0,ISNUMBER(J3),J3&gt;=0,ISNUMBER(Z3),Z3&gt;=0,ISNUMBER(AA3),AA3&gt;=0,AA3&lt;=1,ISNUMBER(AB3),AB3&gt;=0,AB3&lt;=6,AB3=INT(AB3),ISNUMBER(W3),OR(W3=0,W3=1),OR(X3="",AND(ISNUMBER(X3),X3&gt;=0,X3&lt;=1)),OR(Y3="",AND(ISNUMBER(Y3),Y3&gt;=0)),AD2="OK"),IF(AND(W3=1,M3&lt;0),0,IF(M3&gt;0,MIN(M3,L3),MAX(M3,-G3))),0),0)</f>
        <v>-6400.0</v>
      </c>
      <c r="O3" s="4">
        <f>IFERROR(TRUNC(N3/C3,AB3),0)</f>
        <v>-128.0</v>
      </c>
      <c r="P3" s="4">
        <f>O3*C3</f>
        <v>-6400.0</v>
      </c>
      <c r="Q3" s="4">
        <f>E3+O3</f>
        <v>872.0</v>
      </c>
      <c r="R3" s="4">
        <f>F3-P3/D3</f>
        <v>66400.0</v>
      </c>
      <c r="S3" s="4">
        <f>Q3*C3</f>
        <v>43600.0</v>
      </c>
      <c r="T3" s="4">
        <f>R3*D3</f>
        <v>66400.0</v>
      </c>
      <c r="U3" s="4">
        <f>S3+T3</f>
        <v>110000.0</v>
      </c>
      <c r="V3" s="4">
        <f>IF(Y3="",S3,Y3)</f>
        <v>43600.0</v>
      </c>
      <c r="W3" s="5">
        <v>0</v>
      </c>
      <c r="X3" s="6"/>
      <c r="Y3" s="3"/>
      <c r="Z3" s="7">
        <f>$Z$2</f>
        <v>0.09</v>
      </c>
      <c r="AA3" s="7">
        <f>$AA$2</f>
        <v>0.9</v>
      </c>
      <c r="AB3" s="8">
        <f>$AB$2</f>
        <v>0</v>
      </c>
      <c r="AC3" s="4" t="str">
        <f>IF(AD3&lt;&gt;"OK","BLOCKED",IF(O3&gt;0,"BUY",IF(O3&lt;0,"SELL","HOLD")))</f>
        <v>SELL</v>
      </c>
      <c r="AD3" s="4" t="str">
        <f>IFERROR(IF(NOT(AND(COUNT(C3:F3)=4,C3&gt;0,D3&gt;0,E3&gt;=0,F3&gt;=0,ISNUMBER(J3),J3&gt;=0,ISNUMBER(Z3),Z3&gt;=0,ISNUMBER(AA3),AA3&gt;=0,AA3&lt;=1,ISNUMBER(AB3),AB3&gt;=0,AB3&lt;=6,AB3=INT(AB3),ISNUMBER(W3),OR(W3=0,W3=1),OR(X3="",AND(ISNUMBER(X3),X3&gt;=0,X3&lt;=1)),OR(Y3="",AND(ISNUMBER(Y3),Y3&gt;=0)),AD2="OK")),"INVALID INPUT",IF(AND(Q3&gt;=-0.000001,R3&gt;=-0.000001,ABS(U3-I3)&lt;0.000001,P3&lt;=L3+0.000001),"OK","CHECK BALANCES")),"INVALID INPUT")</f>
        <v>OK</v>
      </c>
      <c r="AE3" s="1" t="s">
        <v>36</v>
      </c>
    </row>
    <row r="4" spans="1:31" ht="48" customHeight="1">
      <c r="A4" s="3" t="s">
        <v>37</v>
      </c>
      <c r="B4" s="3" t="s">
        <v>38</v>
      </c>
      <c r="C4" s="3">
        <v>35</v>
      </c>
      <c r="D4" s="3">
        <v>1</v>
      </c>
      <c r="E4" s="4">
        <f>Q3</f>
        <v>872.0</v>
      </c>
      <c r="F4" s="4">
        <f>R3</f>
        <v>66400.0</v>
      </c>
      <c r="G4" s="4">
        <f>E4*C4</f>
        <v>30520.0</v>
      </c>
      <c r="H4" s="4">
        <f>F4*D4</f>
        <v>66400.0</v>
      </c>
      <c r="I4" s="4">
        <f>G4+H4</f>
        <v>96920.0</v>
      </c>
      <c r="J4" s="4">
        <f>V3*(1+Z4)</f>
        <v>47524.0</v>
      </c>
      <c r="K4" s="4">
        <f>J4-G4</f>
        <v>17004.0</v>
      </c>
      <c r="L4" s="4">
        <f>MAX(0,H4)*AA4</f>
        <v>59760.0</v>
      </c>
      <c r="M4" s="4">
        <f>IF(X4="",K4,I4*X4-G4)</f>
        <v>17004.0</v>
      </c>
      <c r="N4" s="4">
        <f>IFERROR(IF(AND(COUNT(C4:F4)=4,C4&gt;0,D4&gt;0,E4&gt;=0,F4&gt;=0,ISNUMBER(J4),J4&gt;=0,ISNUMBER(Z4),Z4&gt;=0,ISNUMBER(AA4),AA4&gt;=0,AA4&lt;=1,ISNUMBER(AB4),AB4&gt;=0,AB4&lt;=6,AB4=INT(AB4),ISNUMBER(W4),OR(W4=0,W4=1),OR(X4="",AND(ISNUMBER(X4),X4&gt;=0,X4&lt;=1)),OR(Y4="",AND(ISNUMBER(Y4),Y4&gt;=0)),AD3="OK"),IF(AND(W4=1,M4&lt;0),0,IF(M4&gt;0,MIN(M4,L4),MAX(M4,-G4))),0),0)</f>
        <v>17004.0</v>
      </c>
      <c r="O4" s="4">
        <f>IFERROR(TRUNC(N4/C4,AB4),0)</f>
        <v>485.0</v>
      </c>
      <c r="P4" s="4">
        <f>O4*C4</f>
        <v>16975.0</v>
      </c>
      <c r="Q4" s="4">
        <f>E4+O4</f>
        <v>1357.0</v>
      </c>
      <c r="R4" s="4">
        <f>F4-P4/D4</f>
        <v>49425.0</v>
      </c>
      <c r="S4" s="4">
        <f>Q4*C4</f>
        <v>47495.0</v>
      </c>
      <c r="T4" s="4">
        <f>R4*D4</f>
        <v>49425.0</v>
      </c>
      <c r="U4" s="4">
        <f>S4+T4</f>
        <v>96920.0</v>
      </c>
      <c r="V4" s="4">
        <f>IF(Y4="",S4,Y4)</f>
        <v>47495.0</v>
      </c>
      <c r="W4" s="5">
        <v>0</v>
      </c>
      <c r="X4" s="6"/>
      <c r="Y4" s="3"/>
      <c r="Z4" s="7">
        <f>$Z$2</f>
        <v>0.09</v>
      </c>
      <c r="AA4" s="7">
        <f>$AA$2</f>
        <v>0.9</v>
      </c>
      <c r="AB4" s="8">
        <f>$AB$2</f>
        <v>0</v>
      </c>
      <c r="AC4" s="4" t="str">
        <f>IF(AD4&lt;&gt;"OK","BLOCKED",IF(O4&gt;0,"BUY",IF(O4&lt;0,"SELL","HOLD")))</f>
        <v>BUY</v>
      </c>
      <c r="AD4" s="4" t="str">
        <f>IFERROR(IF(NOT(AND(COUNT(C4:F4)=4,C4&gt;0,D4&gt;0,E4&gt;=0,F4&gt;=0,ISNUMBER(J4),J4&gt;=0,ISNUMBER(Z4),Z4&gt;=0,ISNUMBER(AA4),AA4&gt;=0,AA4&lt;=1,ISNUMBER(AB4),AB4&gt;=0,AB4&lt;=6,AB4=INT(AB4),ISNUMBER(W4),OR(W4=0,W4=1),OR(X4="",AND(ISNUMBER(X4),X4&gt;=0,X4&lt;=1)),OR(Y4="",AND(ISNUMBER(Y4),Y4&gt;=0)),AD3="OK")),"INVALID INPUT",IF(AND(Q4&gt;=-0.000001,R4&gt;=-0.000001,ABS(U4-I4)&lt;0.000001,P4&lt;=L4+0.000001),"OK","CHECK BALANCES")),"INVALID INPUT")</f>
        <v>OK</v>
      </c>
      <c r="AE4" s="1" t="s">
        <v>36</v>
      </c>
    </row>
    <row r="5" spans="1:31" ht="48" customHeight="1">
      <c r="A5" s="3" t="s">
        <v>39</v>
      </c>
      <c r="B5" s="3" t="s">
        <v>40</v>
      </c>
      <c r="C5" s="3">
        <v>42</v>
      </c>
      <c r="D5" s="3">
        <v>1</v>
      </c>
      <c r="E5" s="4">
        <f>Q4</f>
        <v>1357.0</v>
      </c>
      <c r="F5" s="4">
        <f>R4</f>
        <v>49425.0</v>
      </c>
      <c r="G5" s="4">
        <f>E5*C5</f>
        <v>56994.0</v>
      </c>
      <c r="H5" s="4">
        <f>F5*D5</f>
        <v>49425.0</v>
      </c>
      <c r="I5" s="4">
        <f>G5+H5</f>
        <v>106419.0</v>
      </c>
      <c r="J5" s="4">
        <f>V4*(1+Z5)</f>
        <v>51769.55</v>
      </c>
      <c r="K5" s="4">
        <f>J5-G5</f>
        <v>-5224.45</v>
      </c>
      <c r="L5" s="4">
        <f>MAX(0,H5)*AA5</f>
        <v>44482.5</v>
      </c>
      <c r="M5" s="4">
        <f>IF(X5="",K5,I5*X5-G5)</f>
        <v>-5224.45</v>
      </c>
      <c r="N5" s="4">
        <f>IFERROR(IF(AND(COUNT(C5:F5)=4,C5&gt;0,D5&gt;0,E5&gt;=0,F5&gt;=0,ISNUMBER(J5),J5&gt;=0,ISNUMBER(Z5),Z5&gt;=0,ISNUMBER(AA5),AA5&gt;=0,AA5&lt;=1,ISNUMBER(AB5),AB5&gt;=0,AB5&lt;=6,AB5=INT(AB5),ISNUMBER(W5),OR(W5=0,W5=1),OR(X5="",AND(ISNUMBER(X5),X5&gt;=0,X5&lt;=1)),OR(Y5="",AND(ISNUMBER(Y5),Y5&gt;=0)),AD4="OK"),IF(AND(W5=1,M5&lt;0),0,IF(M5&gt;0,MIN(M5,L5),MAX(M5,-G5))),0),0)</f>
        <v>-5224.45</v>
      </c>
      <c r="O5" s="4">
        <f>IFERROR(TRUNC(N5/C5,AB5),0)</f>
        <v>-124.0</v>
      </c>
      <c r="P5" s="4">
        <f>O5*C5</f>
        <v>-5208.0</v>
      </c>
      <c r="Q5" s="4">
        <f>E5+O5</f>
        <v>1233.0</v>
      </c>
      <c r="R5" s="4">
        <f>F5-P5/D5</f>
        <v>54633.0</v>
      </c>
      <c r="S5" s="4">
        <f>Q5*C5</f>
        <v>51786.0</v>
      </c>
      <c r="T5" s="4">
        <f>R5*D5</f>
        <v>54633.0</v>
      </c>
      <c r="U5" s="4">
        <f>S5+T5</f>
        <v>106419.0</v>
      </c>
      <c r="V5" s="4">
        <f>IF(Y5="",S5,Y5)</f>
        <v>51786.0</v>
      </c>
      <c r="W5" s="5">
        <v>0</v>
      </c>
      <c r="X5" s="6"/>
      <c r="Y5" s="3"/>
      <c r="Z5" s="7">
        <f>$Z$2</f>
        <v>0.09</v>
      </c>
      <c r="AA5" s="7">
        <f>$AA$2</f>
        <v>0.9</v>
      </c>
      <c r="AB5" s="8">
        <f>$AB$2</f>
        <v>0</v>
      </c>
      <c r="AC5" s="4" t="str">
        <f>IF(AD5&lt;&gt;"OK","BLOCKED",IF(O5&gt;0,"BUY",IF(O5&lt;0,"SELL","HOLD")))</f>
        <v>SELL</v>
      </c>
      <c r="AD5" s="4" t="str">
        <f>IFERROR(IF(NOT(AND(COUNT(C5:F5)=4,C5&gt;0,D5&gt;0,E5&gt;=0,F5&gt;=0,ISNUMBER(J5),J5&gt;=0,ISNUMBER(Z5),Z5&gt;=0,ISNUMBER(AA5),AA5&gt;=0,AA5&lt;=1,ISNUMBER(AB5),AB5&gt;=0,AB5&lt;=6,AB5=INT(AB5),ISNUMBER(W5),OR(W5=0,W5=1),OR(X5="",AND(ISNUMBER(X5),X5&gt;=0,X5&lt;=1)),OR(Y5="",AND(ISNUMBER(Y5),Y5&gt;=0)),AD4="OK")),"INVALID INPUT",IF(AND(Q5&gt;=-0.000001,R5&gt;=-0.000001,ABS(U5-I5)&lt;0.000001,P5&lt;=L5+0.000001),"OK","CHECK BALANCES")),"INVALID INPUT")</f>
        <v>OK</v>
      </c>
      <c r="AE5" s="1" t="s">
        <v>36</v>
      </c>
    </row>
  </sheetData>
  <autoFilter ref="A1:AE5"/>
  <conditionalFormatting sqref="AD2:AD1000">
    <cfRule type="expression" dxfId="0" priority="1">
      <formula>AND(AD2&lt;&gt;"",AD2&lt;&gt;"OK")</formula>
    </cfRule>
  </conditionalFormatting>
  <dataValidations count="7">
    <dataValidation type="decimal" operator="greaterThan" allowBlank="1" showInputMessage="1" showErrorMessage="1" error="价格必须大于0。" sqref="C2:D1000">
      <formula1>0</formula1>
    </dataValidation>
    <dataValidation type="list" allowBlank="1" showInputMessage="1" showErrorMessage="1" sqref="W2:W1000">
      <formula1>"0,1"</formula1>
    </dataValidation>
    <dataValidation type="decimal" allowBlank="1" showInputMessage="1" showErrorMessage="1" sqref="X2:X1000">
      <formula1>0</formula1>
      <formula2>1</formula2>
    </dataValidation>
    <dataValidation type="decimal" operator="greaterThanOrEqual" allowBlank="1" showInputMessage="1" showErrorMessage="1" sqref="Y2:Y1000">
      <formula1>0</formula1>
    </dataValidation>
    <dataValidation type="decimal" operator="greaterThanOrEqual" allowBlank="1" showInputMessage="1" showErrorMessage="1" sqref="Z2:Z1000">
      <formula1>0</formula1>
    </dataValidation>
    <dataValidation type="decimal" allowBlank="1" showInputMessage="1" showErrorMessage="1" sqref="AA2:AA1000">
      <formula1>0</formula1>
      <formula2>1</formula2>
    </dataValidation>
    <dataValidation type="whole" allowBlank="1" showInputMessage="1" showErrorMessage="1" sqref="AB2:AB1000">
      <formula1>0</formula1>
      <formula2>6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5.7109375" customWidth="1"/>
  </cols>
  <sheetData>
    <row r="1" spans="1:1" ht="20" customHeight="1">
      <c r="A1" s="9" t="s">
        <v>41</v>
      </c>
    </row>
    <row r="2" spans="1:1" ht="20" customHeight="1">
      <c r="A2" s="9" t="s">
        <v>42</v>
      </c>
    </row>
    <row r="3" spans="1:1" ht="20" customHeight="1">
      <c r="A3" s="9" t="s">
        <v>43</v>
      </c>
    </row>
    <row r="4" spans="1:1" ht="20" customHeight="1">
      <c r="A4" s="9" t="s">
        <v>42</v>
      </c>
    </row>
    <row r="5" spans="1:1" ht="36" customHeight="1">
      <c r="A5" s="9" t="s">
        <v>44</v>
      </c>
    </row>
    <row r="6" spans="1:1" ht="20" customHeight="1">
      <c r="A6" s="9" t="s">
        <v>42</v>
      </c>
    </row>
    <row r="7" spans="1:1" ht="72" customHeight="1">
      <c r="A7" s="9" t="s">
        <v>45</v>
      </c>
    </row>
    <row r="8" spans="1:1" ht="20" customHeight="1">
      <c r="A8" s="9" t="s">
        <v>42</v>
      </c>
    </row>
    <row r="9" spans="1:1" ht="20" customHeight="1">
      <c r="A9" s="9" t="s">
        <v>46</v>
      </c>
    </row>
    <row r="10" spans="1:1" ht="20" customHeight="1">
      <c r="A10" s="9" t="s">
        <v>42</v>
      </c>
    </row>
    <row r="11" spans="1:1" ht="20" customHeight="1">
      <c r="A11" s="9" t="s">
        <v>47</v>
      </c>
    </row>
    <row r="12" spans="1:1" ht="20" customHeight="1">
      <c r="A12" s="9" t="s">
        <v>48</v>
      </c>
    </row>
    <row r="13" spans="1:1" ht="36" customHeight="1">
      <c r="A13" s="9" t="s">
        <v>49</v>
      </c>
    </row>
    <row r="14" spans="1:1" ht="36" customHeight="1">
      <c r="A14" s="9" t="s">
        <v>50</v>
      </c>
    </row>
    <row r="15" spans="1:1" ht="20" customHeight="1">
      <c r="A15" s="9" t="s">
        <v>51</v>
      </c>
    </row>
    <row r="16" spans="1:1" ht="20" customHeight="1">
      <c r="A16" s="9" t="s">
        <v>52</v>
      </c>
    </row>
    <row r="17" spans="1:1" ht="20" customHeight="1">
      <c r="A17" s="9" t="s">
        <v>53</v>
      </c>
    </row>
    <row r="18" spans="1:1" ht="20" customHeight="1">
      <c r="A18" s="9" t="s">
        <v>42</v>
      </c>
    </row>
    <row r="19" spans="1:1" ht="36" customHeight="1">
      <c r="A19" s="9" t="s">
        <v>54</v>
      </c>
    </row>
    <row r="20" spans="1:1" ht="20" customHeight="1">
      <c r="A20" s="9" t="s">
        <v>42</v>
      </c>
    </row>
    <row r="21" spans="1:1" ht="54" customHeight="1">
      <c r="A21" s="9" t="s">
        <v>55</v>
      </c>
    </row>
    <row r="22" spans="1:1" ht="20" customHeight="1">
      <c r="A22" s="9" t="s">
        <v>42</v>
      </c>
    </row>
    <row r="23" spans="1:1" ht="20" customHeight="1">
      <c r="A23" s="9" t="s">
        <v>56</v>
      </c>
    </row>
    <row r="24" spans="1:1" ht="20" customHeight="1">
      <c r="A24" s="9" t="s">
        <v>42</v>
      </c>
    </row>
    <row r="25" spans="1:1" ht="20" customHeight="1">
      <c r="A25" s="9" t="s">
        <v>57</v>
      </c>
    </row>
    <row r="26" spans="1:1" ht="36" customHeight="1">
      <c r="A26" s="9" t="s">
        <v>58</v>
      </c>
    </row>
    <row r="27" spans="1:1" ht="20" customHeight="1">
      <c r="A27" s="9" t="s">
        <v>59</v>
      </c>
    </row>
    <row r="28" spans="1:1" ht="36" customHeight="1">
      <c r="A28" s="9" t="s">
        <v>60</v>
      </c>
    </row>
    <row r="29" spans="1:1" ht="54" customHeight="1">
      <c r="A29" s="9" t="s">
        <v>61</v>
      </c>
    </row>
    <row r="30" spans="1:1" ht="20" customHeight="1">
      <c r="A30" s="9" t="s">
        <v>42</v>
      </c>
    </row>
    <row r="31" spans="1:1" ht="36" customHeight="1">
      <c r="A31" s="9" t="s">
        <v>62</v>
      </c>
    </row>
    <row r="32" spans="1:1" ht="20" customHeight="1">
      <c r="A32" s="9" t="s">
        <v>42</v>
      </c>
    </row>
    <row r="33" spans="1:1" ht="20" customHeight="1">
      <c r="A33" s="9" t="s">
        <v>63</v>
      </c>
    </row>
    <row r="34" spans="1:1" ht="20" customHeight="1">
      <c r="A34" s="9" t="s">
        <v>42</v>
      </c>
    </row>
    <row r="35" spans="1:1" ht="36" customHeight="1">
      <c r="A35" s="9" t="s">
        <v>64</v>
      </c>
    </row>
    <row r="36" spans="1:1" ht="20" customHeight="1">
      <c r="A36" s="9" t="s">
        <v>42</v>
      </c>
    </row>
    <row r="37" spans="1:1" ht="20" customHeight="1">
      <c r="A37" s="9" t="s">
        <v>65</v>
      </c>
    </row>
    <row r="38" spans="1:1" ht="20" customHeight="1">
      <c r="A38" s="9" t="s">
        <v>66</v>
      </c>
    </row>
    <row r="39" spans="1:1" ht="20" customHeight="1">
      <c r="A39" s="9" t="s">
        <v>67</v>
      </c>
    </row>
    <row r="40" spans="1:1" ht="20" customHeight="1">
      <c r="A40" s="9" t="s">
        <v>68</v>
      </c>
    </row>
    <row r="41" spans="1:1" ht="20" customHeight="1">
      <c r="A41" s="9" t="s">
        <v>69</v>
      </c>
    </row>
    <row r="42" spans="1:1" ht="20" customHeight="1">
      <c r="A42" s="9" t="s">
        <v>70</v>
      </c>
    </row>
    <row r="43" spans="1:1" ht="20" customHeight="1">
      <c r="A43" s="9" t="s">
        <v>71</v>
      </c>
    </row>
    <row r="44" spans="1:1" ht="20" customHeight="1">
      <c r="A44" s="9" t="s">
        <v>42</v>
      </c>
    </row>
    <row r="45" spans="1:1" ht="36" customHeight="1">
      <c r="A45" s="9" t="s">
        <v>72</v>
      </c>
    </row>
    <row r="46" spans="1:1" ht="20" customHeight="1">
      <c r="A46" s="9" t="s">
        <v>42</v>
      </c>
    </row>
    <row r="47" spans="1:1" ht="20" customHeight="1">
      <c r="A47" s="9" t="s">
        <v>73</v>
      </c>
    </row>
    <row r="48" spans="1:1" ht="20" customHeight="1">
      <c r="A48" s="9" t="s">
        <v>42</v>
      </c>
    </row>
    <row r="49" spans="1:1" ht="20" customHeight="1">
      <c r="A49" s="9" t="s">
        <v>74</v>
      </c>
    </row>
    <row r="50" spans="1:1" ht="20" customHeight="1">
      <c r="A50" s="9" t="s">
        <v>75</v>
      </c>
    </row>
    <row r="51" spans="1:1" ht="20" customHeight="1">
      <c r="A51" s="9" t="s">
        <v>76</v>
      </c>
    </row>
    <row r="52" spans="1:1" ht="20" customHeight="1">
      <c r="A52" s="9" t="s">
        <v>77</v>
      </c>
    </row>
    <row r="53" spans="1:1" ht="36" customHeight="1">
      <c r="A53" s="9" t="s">
        <v>78</v>
      </c>
    </row>
    <row r="54" spans="1:1" ht="20" customHeight="1">
      <c r="A54" s="9" t="s">
        <v>42</v>
      </c>
    </row>
    <row r="55" spans="1:1" ht="36" customHeight="1">
      <c r="A55" s="9" t="s">
        <v>79</v>
      </c>
    </row>
    <row r="56" spans="1:1" ht="20" customHeight="1">
      <c r="A56" s="9" t="s">
        <v>42</v>
      </c>
    </row>
    <row r="57" spans="1:1" ht="20" customHeight="1">
      <c r="A57" s="9" t="s">
        <v>80</v>
      </c>
    </row>
    <row r="58" spans="1:1" ht="20" customHeight="1">
      <c r="A58" s="9" t="s">
        <v>42</v>
      </c>
    </row>
    <row r="59" spans="1:1" ht="20" customHeight="1">
      <c r="A59" s="9" t="s">
        <v>81</v>
      </c>
    </row>
    <row r="60" spans="1:1" ht="20" customHeight="1">
      <c r="A60" s="9" t="s">
        <v>82</v>
      </c>
    </row>
    <row r="61" spans="1:1" ht="20" customHeight="1">
      <c r="A61" s="9" t="s">
        <v>83</v>
      </c>
    </row>
    <row r="62" spans="1:1" ht="36" customHeight="1">
      <c r="A62" s="9" t="s">
        <v>84</v>
      </c>
    </row>
    <row r="63" spans="1:1" ht="20" customHeight="1">
      <c r="A63" s="9" t="s">
        <v>85</v>
      </c>
    </row>
    <row r="64" spans="1:1" ht="20" customHeight="1">
      <c r="A64" s="9" t="s">
        <v>86</v>
      </c>
    </row>
    <row r="65" spans="1:1" ht="20" customHeight="1">
      <c r="A65" s="9" t="s">
        <v>87</v>
      </c>
    </row>
    <row r="66" spans="1:1" ht="20" customHeight="1">
      <c r="A66" s="9" t="s">
        <v>88</v>
      </c>
    </row>
    <row r="67" spans="1:1" ht="20" customHeight="1">
      <c r="A67" s="9" t="s">
        <v>89</v>
      </c>
    </row>
    <row r="68" spans="1:1" ht="20" customHeight="1">
      <c r="A68" s="9" t="s">
        <v>90</v>
      </c>
    </row>
    <row r="69" spans="1:1" ht="20" customHeight="1">
      <c r="A69" s="9" t="s">
        <v>91</v>
      </c>
    </row>
    <row r="70" spans="1:1" ht="20" customHeight="1">
      <c r="A70" s="9" t="s">
        <v>92</v>
      </c>
    </row>
    <row r="71" spans="1:1" ht="20" customHeight="1">
      <c r="A71" s="9" t="s">
        <v>93</v>
      </c>
    </row>
    <row r="72" spans="1:1" ht="20" customHeight="1">
      <c r="A72" s="9" t="s">
        <v>94</v>
      </c>
    </row>
    <row r="73" spans="1:1" ht="20" customHeight="1">
      <c r="A73" s="9" t="s">
        <v>95</v>
      </c>
    </row>
    <row r="74" spans="1:1" ht="20" customHeight="1">
      <c r="A74" s="9" t="s">
        <v>96</v>
      </c>
    </row>
    <row r="75" spans="1:1" ht="20" customHeight="1">
      <c r="A75" s="9" t="s">
        <v>97</v>
      </c>
    </row>
    <row r="76" spans="1:1" ht="20" customHeight="1">
      <c r="A76" s="9" t="s">
        <v>98</v>
      </c>
    </row>
    <row r="77" spans="1:1" ht="20" customHeight="1">
      <c r="A77" s="9" t="s">
        <v>99</v>
      </c>
    </row>
    <row r="78" spans="1:1" ht="20" customHeight="1">
      <c r="A78" s="9" t="s">
        <v>100</v>
      </c>
    </row>
    <row r="79" spans="1:1" ht="20" customHeight="1">
      <c r="A79" s="9" t="s">
        <v>101</v>
      </c>
    </row>
    <row r="80" spans="1:1" ht="20" customHeight="1">
      <c r="A80" s="9" t="s">
        <v>102</v>
      </c>
    </row>
    <row r="81" spans="1:1" ht="20" customHeight="1">
      <c r="A81" s="9" t="s">
        <v>103</v>
      </c>
    </row>
    <row r="82" spans="1:1" ht="20" customHeight="1">
      <c r="A82" s="9" t="s">
        <v>104</v>
      </c>
    </row>
    <row r="83" spans="1:1" ht="20" customHeight="1">
      <c r="A83" s="9" t="s">
        <v>105</v>
      </c>
    </row>
    <row r="84" spans="1:1" ht="20" customHeight="1">
      <c r="A84" s="9" t="s">
        <v>42</v>
      </c>
    </row>
    <row r="85" spans="1:1" ht="20" customHeight="1">
      <c r="A85" s="9" t="s">
        <v>106</v>
      </c>
    </row>
    <row r="86" spans="1:1" ht="20" customHeight="1">
      <c r="A86" s="9" t="s">
        <v>42</v>
      </c>
    </row>
    <row r="87" spans="1:1" ht="20" customHeight="1">
      <c r="A87" s="9" t="s">
        <v>107</v>
      </c>
    </row>
    <row r="88" spans="1:1" ht="20" customHeight="1">
      <c r="A88" s="9" t="s">
        <v>108</v>
      </c>
    </row>
    <row r="89" spans="1:1" ht="20" customHeight="1">
      <c r="A89" s="9" t="s">
        <v>109</v>
      </c>
    </row>
    <row r="90" spans="1:1" ht="20" customHeight="1">
      <c r="A90" s="9" t="s">
        <v>110</v>
      </c>
    </row>
    <row r="91" spans="1:1" ht="20" customHeight="1">
      <c r="A91" s="9" t="s">
        <v>111</v>
      </c>
    </row>
    <row r="92" spans="1:1" ht="20" customHeight="1">
      <c r="A92" s="9" t="s">
        <v>112</v>
      </c>
    </row>
    <row r="93" spans="1:1" ht="20" customHeight="1">
      <c r="A93" s="9" t="s">
        <v>113</v>
      </c>
    </row>
    <row r="94" spans="1:1" ht="20" customHeight="1">
      <c r="A94" s="9" t="s">
        <v>114</v>
      </c>
    </row>
    <row r="95" spans="1:1" ht="20" customHeight="1">
      <c r="A95" s="9" t="s">
        <v>115</v>
      </c>
    </row>
    <row r="96" spans="1:1" ht="20" customHeight="1">
      <c r="A96" s="9" t="s">
        <v>116</v>
      </c>
    </row>
    <row r="97" spans="1:1" ht="20" customHeight="1">
      <c r="A97" s="9" t="s">
        <v>117</v>
      </c>
    </row>
    <row r="98" spans="1:1" ht="20" customHeight="1">
      <c r="A98" s="9" t="s">
        <v>118</v>
      </c>
    </row>
    <row r="99" spans="1:1" ht="20" customHeight="1">
      <c r="A99" s="9" t="s">
        <v>119</v>
      </c>
    </row>
    <row r="100" spans="1:1" ht="20" customHeight="1">
      <c r="A100" s="9" t="s">
        <v>120</v>
      </c>
    </row>
    <row r="101" spans="1:1" ht="20" customHeight="1">
      <c r="A101" s="9" t="s">
        <v>121</v>
      </c>
    </row>
    <row r="102" spans="1:1" ht="20" customHeight="1">
      <c r="A102" s="9" t="s">
        <v>122</v>
      </c>
    </row>
    <row r="103" spans="1:1" ht="20" customHeight="1">
      <c r="A103" s="9" t="s">
        <v>123</v>
      </c>
    </row>
    <row r="104" spans="1:1" ht="20" customHeight="1">
      <c r="A104" s="9" t="s">
        <v>124</v>
      </c>
    </row>
    <row r="105" spans="1:1" ht="20" customHeight="1">
      <c r="A105" s="9" t="s">
        <v>42</v>
      </c>
    </row>
    <row r="106" spans="1:1" ht="36" customHeight="1">
      <c r="A106" s="9" t="s">
        <v>125</v>
      </c>
    </row>
    <row r="107" spans="1:1" ht="20" customHeight="1">
      <c r="A107" s="9" t="s">
        <v>42</v>
      </c>
    </row>
    <row r="108" spans="1:1" ht="54" customHeight="1">
      <c r="A108" s="9" t="s">
        <v>126</v>
      </c>
    </row>
    <row r="109" spans="1:1" ht="20" customHeight="1">
      <c r="A109" s="9" t="s">
        <v>42</v>
      </c>
    </row>
    <row r="110" spans="1:1" ht="20" customHeight="1">
      <c r="A110" s="9" t="s">
        <v>127</v>
      </c>
    </row>
    <row r="111" spans="1:1" ht="20" customHeight="1">
      <c r="A111" s="9" t="s">
        <v>42</v>
      </c>
    </row>
    <row r="112" spans="1:1" ht="20" customHeight="1">
      <c r="A112" s="9" t="s">
        <v>128</v>
      </c>
    </row>
    <row r="113" spans="1:1" ht="20" customHeight="1">
      <c r="A113" s="9" t="s">
        <v>42</v>
      </c>
    </row>
    <row r="114" spans="1:1" ht="20" customHeight="1">
      <c r="A114" s="9" t="s">
        <v>129</v>
      </c>
    </row>
    <row r="115" spans="1:1" ht="20" customHeight="1">
      <c r="A115" s="9" t="s">
        <v>130</v>
      </c>
    </row>
    <row r="116" spans="1:1" ht="36" customHeight="1">
      <c r="A116" s="9" t="s">
        <v>131</v>
      </c>
    </row>
    <row r="117" spans="1:1" ht="36" customHeight="1">
      <c r="A117" s="9" t="s">
        <v>132</v>
      </c>
    </row>
    <row r="118" spans="1:1" ht="36" customHeight="1">
      <c r="A118" s="9" t="s">
        <v>133</v>
      </c>
    </row>
    <row r="119" spans="1:1" ht="36" customHeight="1">
      <c r="A119" s="9" t="s">
        <v>134</v>
      </c>
    </row>
    <row r="120" spans="1:1" ht="20" customHeight="1">
      <c r="A120" s="9" t="s">
        <v>42</v>
      </c>
    </row>
    <row r="121" spans="1:1" ht="36" customHeight="1">
      <c r="A121" s="9" t="s">
        <v>135</v>
      </c>
    </row>
    <row r="122" spans="1:1" ht="20" customHeight="1">
      <c r="A122" s="9" t="s">
        <v>42</v>
      </c>
    </row>
    <row r="123" spans="1:1" ht="20" customHeight="1">
      <c r="A123" s="9" t="s">
        <v>136</v>
      </c>
    </row>
    <row r="124" spans="1:1" ht="20" customHeight="1">
      <c r="A124" s="9" t="s">
        <v>42</v>
      </c>
    </row>
    <row r="125" spans="1:1" ht="72" customHeight="1">
      <c r="A125" s="9" t="s">
        <v>137</v>
      </c>
    </row>
    <row r="126" spans="1:1" ht="20" customHeight="1">
      <c r="A126" s="9" t="s">
        <v>42</v>
      </c>
    </row>
    <row r="127" spans="1:1" ht="54" customHeight="1">
      <c r="A127" s="9" t="s">
        <v>138</v>
      </c>
    </row>
    <row r="128" spans="1:1" ht="20" customHeight="1">
      <c r="A128" s="9" t="s">
        <v>42</v>
      </c>
    </row>
    <row r="129" spans="1:1" ht="54" customHeight="1">
      <c r="A129" s="9" t="s">
        <v>139</v>
      </c>
    </row>
    <row r="130" spans="1:1" ht="20" customHeight="1">
      <c r="A130" s="9" t="s">
        <v>42</v>
      </c>
    </row>
    <row r="131" spans="1:1" ht="54" customHeight="1">
      <c r="A131" s="9" t="s">
        <v>140</v>
      </c>
    </row>
    <row r="132" spans="1:1" ht="20" customHeight="1">
      <c r="A132" s="9" t="s">
        <v>42</v>
      </c>
    </row>
    <row r="133" spans="1:1" ht="20" customHeight="1">
      <c r="A133" s="9" t="s">
        <v>141</v>
      </c>
    </row>
    <row r="134" spans="1:1" ht="20" customHeight="1">
      <c r="A134" s="9" t="s">
        <v>42</v>
      </c>
    </row>
    <row r="135" spans="1:1" ht="36" customHeight="1">
      <c r="A135" s="9" t="s">
        <v>142</v>
      </c>
    </row>
    <row r="136" spans="1:1" ht="20" customHeight="1">
      <c r="A136" s="9" t="s">
        <v>42</v>
      </c>
    </row>
    <row r="137" spans="1:1" ht="20" customHeight="1">
      <c r="A137" s="9" t="s">
        <v>107</v>
      </c>
    </row>
    <row r="138" spans="1:1" ht="20" customHeight="1">
      <c r="A138" s="9" t="s">
        <v>143</v>
      </c>
    </row>
    <row r="139" spans="1:1" ht="20" customHeight="1">
      <c r="A139" s="9" t="s">
        <v>124</v>
      </c>
    </row>
    <row r="140" spans="1:1" ht="20" customHeight="1">
      <c r="A140" s="9" t="s">
        <v>42</v>
      </c>
    </row>
    <row r="141" spans="1:1" ht="54" customHeight="1">
      <c r="A141" s="9" t="s">
        <v>144</v>
      </c>
    </row>
    <row r="142" spans="1:1" ht="20" customHeight="1">
      <c r="A142" s="9" t="s">
        <v>42</v>
      </c>
    </row>
    <row r="143" spans="1:1" ht="54" customHeight="1">
      <c r="A143" s="9" t="s">
        <v>145</v>
      </c>
    </row>
    <row r="144" spans="1:1" ht="20" customHeight="1">
      <c r="A144" s="9" t="s">
        <v>42</v>
      </c>
    </row>
    <row r="145" spans="1:1" ht="36" customHeight="1">
      <c r="A145" s="9" t="s">
        <v>146</v>
      </c>
    </row>
    <row r="146" spans="1:1" ht="20" customHeight="1">
      <c r="A146" s="9" t="s">
        <v>42</v>
      </c>
    </row>
    <row r="147" spans="1:1" ht="20" customHeight="1">
      <c r="A147" s="9" t="s">
        <v>147</v>
      </c>
    </row>
    <row r="148" spans="1:1" ht="20" customHeight="1">
      <c r="A148" s="9" t="s">
        <v>42</v>
      </c>
    </row>
    <row r="149" spans="1:1" ht="36" customHeight="1">
      <c r="A149" s="9" t="s">
        <v>148</v>
      </c>
    </row>
    <row r="150" spans="1:1" ht="20" customHeight="1">
      <c r="A150" s="9" t="s">
        <v>42</v>
      </c>
    </row>
    <row r="151" spans="1:1" ht="36" customHeight="1">
      <c r="A151" s="9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9Sig Template</vt:lpstr>
      <vt:lpstr>中文指南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Jason Kelly 9Sig 自定义教学模板</dc:title>
  <dc:creator/>
  <dc:description>40/60 cash example; independent template, not the official 9Sig manual.</dc:description>
  <cp:lastModifiedBy/>
  <dcterms:created xsi:type="dcterms:W3CDTF">2026-10-27T02:50:23Z</dcterms:created>
  <dcterms:modified xsi:type="dcterms:W3CDTF">2026-10-27T02:50:23Z</dcterms:modified>
</cp:coreProperties>
</file>